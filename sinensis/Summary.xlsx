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ulianoprescu/Projects/"/>
    </mc:Choice>
  </mc:AlternateContent>
  <xr:revisionPtr revIDLastSave="0" documentId="13_ncr:1_{45CCAC17-58DD-814E-8BC2-84D8E3D3C20E}" xr6:coauthVersionLast="47" xr6:coauthVersionMax="47" xr10:uidLastSave="{00000000-0000-0000-0000-000000000000}"/>
  <bookViews>
    <workbookView xWindow="38840" yWindow="2480" windowWidth="41480" windowHeight="18360" xr2:uid="{00000000-000D-0000-FFFF-FFFF00000000}"/>
  </bookViews>
  <sheets>
    <sheet name="Master_All_Variables" sheetId="1" r:id="rId1"/>
    <sheet name="QUES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V14" i="1"/>
  <c r="AV13" i="1"/>
  <c r="AV12" i="1"/>
  <c r="CX11" i="1" l="1"/>
  <c r="CX5" i="1"/>
  <c r="CX6" i="1"/>
  <c r="CX7" i="1"/>
  <c r="CX8" i="1"/>
  <c r="CX9" i="1"/>
  <c r="CX10" i="1"/>
  <c r="CX4" i="1"/>
  <c r="CW11" i="1"/>
  <c r="CW5" i="1"/>
  <c r="CW6" i="1"/>
  <c r="CW7" i="1"/>
  <c r="CW8" i="1"/>
  <c r="CW9" i="1"/>
  <c r="CW10" i="1"/>
  <c r="CW4" i="1"/>
  <c r="CS11" i="1"/>
  <c r="CQ11" i="1"/>
  <c r="CP11" i="1"/>
  <c r="CO11" i="1"/>
  <c r="CN11" i="1"/>
  <c r="CR11" i="1"/>
</calcChain>
</file>

<file path=xl/sharedStrings.xml><?xml version="1.0" encoding="utf-8"?>
<sst xmlns="http://schemas.openxmlformats.org/spreadsheetml/2006/main" count="316" uniqueCount="272">
  <si>
    <t>IDENTITY</t>
  </si>
  <si>
    <t>2013-2014 ESTABLISHMENT</t>
  </si>
  <si>
    <t>2015 SCORES</t>
  </si>
  <si>
    <t>2016 HARVEST</t>
  </si>
  <si>
    <t>2017 HARVEST</t>
  </si>
  <si>
    <t>2018 HARVEST</t>
  </si>
  <si>
    <t>2018 HARVEST (derived)</t>
  </si>
  <si>
    <t>2018 FLOWERING</t>
  </si>
  <si>
    <t>2020 HARVEST</t>
  </si>
  <si>
    <t>2021 HARVEST</t>
  </si>
  <si>
    <t>2022 HARVEST</t>
  </si>
  <si>
    <t>YIELD (t/ha)</t>
  </si>
  <si>
    <t>2024 HARVEST</t>
  </si>
  <si>
    <t>Name</t>
  </si>
  <si>
    <t>Name2</t>
  </si>
  <si>
    <t>Species</t>
  </si>
  <si>
    <t>Planted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</si>
  <si>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</si>
  <si>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</si>
  <si>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</si>
  <si>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</si>
  <si>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</si>
  <si>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</si>
  <si>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</si>
  <si>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</si>
  <si>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</si>
  <si>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</si>
  <si>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Length_stem</t>
  </si>
  <si>
    <t>Internodes_number</t>
  </si>
  <si>
    <t>Diameter_middle_internode</t>
  </si>
  <si>
    <t>Flower_DW</t>
  </si>
  <si>
    <t>Leafs_DW</t>
  </si>
  <si>
    <t>Stems_DW</t>
  </si>
  <si>
    <t>Lodging_degrees</t>
  </si>
  <si>
    <t>Stems_number</t>
  </si>
  <si>
    <t>LWR</t>
  </si>
  <si>
    <t>LSR</t>
  </si>
  <si>
    <t>SWR</t>
  </si>
  <si>
    <t>Flowering_init</t>
  </si>
  <si>
    <t>Flowering_50pct</t>
  </si>
  <si>
    <t>Flowering_speed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</si>
  <si>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</si>
  <si>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</si>
  <si>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</si>
  <si>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</si>
  <si>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</si>
  <si>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</si>
  <si>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</si>
  <si>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</si>
  <si>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</si>
  <si>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</si>
  <si>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</si>
  <si>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</si>
  <si>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</si>
  <si>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Lig%_DM</t>
  </si>
  <si>
    <t>Cel%_DM</t>
  </si>
  <si>
    <t>Hem%_DM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</si>
  <si>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</si>
  <si>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</si>
  <si>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</si>
  <si>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</si>
  <si>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</si>
  <si>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</si>
  <si>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</si>
  <si>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</si>
  <si>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</si>
  <si>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</si>
  <si>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</si>
  <si>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</si>
  <si>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M38</t>
  </si>
  <si>
    <t>StemFW_2018</t>
  </si>
  <si>
    <t>DW_2018</t>
  </si>
  <si>
    <t>StemDW_2018</t>
  </si>
  <si>
    <t>M47</t>
  </si>
  <si>
    <t>M39</t>
  </si>
  <si>
    <t>M40</t>
  </si>
  <si>
    <t>M41</t>
  </si>
  <si>
    <t>M42</t>
  </si>
  <si>
    <t>M43</t>
  </si>
  <si>
    <t>M44</t>
  </si>
  <si>
    <t>M45</t>
  </si>
  <si>
    <t>M46</t>
  </si>
  <si>
    <t>M48</t>
  </si>
  <si>
    <t>M49</t>
  </si>
  <si>
    <t>M50</t>
  </si>
  <si>
    <t>M51</t>
  </si>
  <si>
    <t>Yield 2015</t>
  </si>
  <si>
    <t>Yield 2016</t>
  </si>
  <si>
    <t>Yield 2017</t>
  </si>
  <si>
    <t>Yield 2019</t>
  </si>
  <si>
    <t>Yield 2020</t>
  </si>
  <si>
    <t>Yield 2021</t>
  </si>
  <si>
    <t>Yield 4pl (g)</t>
  </si>
  <si>
    <t>Subsample total (g)</t>
  </si>
  <si>
    <t>Subsample stem (g)</t>
  </si>
  <si>
    <t>Number of missing plants / September 2013</t>
  </si>
  <si>
    <t>Number of missing plants / May 2014</t>
  </si>
  <si>
    <t>Contamination with M. sacchariflorus; 0=OK; 1=contamination; 2=doubts</t>
  </si>
  <si>
    <t>E-score // 07-01-2015</t>
  </si>
  <si>
    <t>Heading 50% // 1=01-07-2015</t>
  </si>
  <si>
    <t>Inflorescence color rating // wt=white; pu=purple; rd=red; lr=light red; si=silvery white; br=brownish</t>
  </si>
  <si>
    <t>Stem thickness rating // 1-9 scale // 29-09-2015</t>
  </si>
  <si>
    <t>Deviant plants // 0=no; 1=deviant plants // 29-09-2015</t>
  </si>
  <si>
    <t>Leaf width rating // 1-9 scale // 29-09-2015</t>
  </si>
  <si>
    <t>Plant height (cm) // 10-12-2015 // average plant, 3-5 tallest stems</t>
  </si>
  <si>
    <t>E-score // 19-01-2016</t>
  </si>
  <si>
    <t>Biomassa // 19-01-2016</t>
  </si>
  <si>
    <t>Fresh Weight Plants from centre of plot (g) / Week 9, 2016</t>
  </si>
  <si>
    <t>Identity of plants still visible / 1=yes/0=no</t>
  </si>
  <si>
    <t>Number of plants harvested / either 4 or 1m2 / Week 9, 2016</t>
  </si>
  <si>
    <t>Sample taken / 1=yes/0=no / Week 9, 2016</t>
  </si>
  <si>
    <t>Sample Fresh weight (g) / Week 9, 2016</t>
  </si>
  <si>
    <t>Sample DryWeight (g) / dry matter content of 92% / Week 9, 2016</t>
  </si>
  <si>
    <t>Dry weight stems in samples / Week 9, 2016</t>
  </si>
  <si>
    <t>Number missing plants / 12 May 2016</t>
  </si>
  <si>
    <t>Cleaning needed to eliminate contamination</t>
  </si>
  <si>
    <t>Biomassa Rating // 31-05-2016</t>
  </si>
  <si>
    <t>Selection for DNA extraction (July 2016)</t>
  </si>
  <si>
    <t>Lignin % of DM // Research Rens Samples Winter 2016</t>
  </si>
  <si>
    <t>Cellulose % of DM // Research Rens Samples Winter 2016</t>
  </si>
  <si>
    <t>Hemicellulose % of DM // Research Rens Samples Winter 2016</t>
  </si>
  <si>
    <t># lodged plants 22-01-2017</t>
  </si>
  <si>
    <t>E-score 22-01-2017</t>
  </si>
  <si>
    <t>Fresh Weight Plants from centre of plot (g) / 31-01-2017</t>
  </si>
  <si>
    <t>Number of plants harvested / either 4 or 1m2 / 31-01-2017</t>
  </si>
  <si>
    <t>Sample Fresh weight (g) // 31-01-2017 // sample from M26</t>
  </si>
  <si>
    <t>Sample DryWeight (g) / dry matter content of 92% // 31-01-2017</t>
  </si>
  <si>
    <t>Dry weight stems in samples // 31-01-2017</t>
  </si>
  <si>
    <t>Biomassa Rating // 29-05-2017</t>
  </si>
  <si>
    <t>Number missing plants // 29-05-2017</t>
  </si>
  <si>
    <t>Present Plot // May 2017 / 0=removed; 1=present</t>
  </si>
  <si>
    <t>Elimination deviant plants needed by May 2017 (1=yes)</t>
  </si>
  <si>
    <t>Dry Weight Plants from centre of plot (g) / Week 11, 2018 / DM%=M38</t>
  </si>
  <si>
    <t>StemContent (%) // Week 11, 2018</t>
  </si>
  <si>
    <t>DryMatter Content (%) / oven-dry / based on sample of chopped stems // Week 11, 2018</t>
  </si>
  <si>
    <t>Stem Dry Weight (g) // derived, 2018 sheet only (2022 canonical: M37)</t>
  </si>
  <si>
    <t>HD50% 2018 / Data Annick Hoogendam (from 2020 sheet)</t>
  </si>
  <si>
    <t>E-score 31-01-2020</t>
  </si>
  <si>
    <t>Dry Weight Plants from centre of plot (g) / DM%=94% / Week 14?, 2020</t>
  </si>
  <si>
    <t>Sample whole plants (g) from M40</t>
  </si>
  <si>
    <t>Stem weight of M41 (g)</t>
  </si>
  <si>
    <t>No contamination=1; contamination=2; doubts=3 (11-09-2020)</t>
  </si>
  <si>
    <t>Dry Weight Plants from centre of plot (g) / DM%=94% / 19-04-2021</t>
  </si>
  <si>
    <t>Sample whole plants (g) from M44</t>
  </si>
  <si>
    <t>Stem weight of M45 (g)</t>
  </si>
  <si>
    <t># Plant Types per plot</t>
  </si>
  <si>
    <t>Dry Weight Plants from centre of plot (g) / DM%=94% / week?, 2022</t>
  </si>
  <si>
    <t>Sample whole plants (g)</t>
  </si>
  <si>
    <t>Stem weight of M50 (g)</t>
  </si>
  <si>
    <t>Yield DM (t/ha) // 2015</t>
  </si>
  <si>
    <t>Yield DM (t/ha) // 2016</t>
  </si>
  <si>
    <t>Yield DM (t/ha) // 2017</t>
  </si>
  <si>
    <t>Yield DM (t/ha) // 2019</t>
  </si>
  <si>
    <t>Yield DM (t/ha) // 2020</t>
  </si>
  <si>
    <t>Yield DM (t/ha) // 2021</t>
  </si>
  <si>
    <t>Yield 4 plants (g) // April 2024</t>
  </si>
  <si>
    <t>Subsample total weight (g) // April 2024</t>
  </si>
  <si>
    <t>Subsample stem weight (no leaves; g) // April 2024</t>
  </si>
  <si>
    <t>OD1302-008</t>
  </si>
  <si>
    <t>H0122</t>
  </si>
  <si>
    <t>MS-88-110</t>
  </si>
  <si>
    <t>M. sinensis</t>
  </si>
  <si>
    <t>wt</t>
  </si>
  <si>
    <t>OD1302-011</t>
  </si>
  <si>
    <t>H0140</t>
  </si>
  <si>
    <t>EMI 7</t>
  </si>
  <si>
    <t>*</t>
  </si>
  <si>
    <t>OD1302-064</t>
  </si>
  <si>
    <t>H0244</t>
  </si>
  <si>
    <t>MB173</t>
  </si>
  <si>
    <t>lr</t>
  </si>
  <si>
    <t>OD1302-066</t>
  </si>
  <si>
    <t>H0246</t>
  </si>
  <si>
    <t>MB175</t>
  </si>
  <si>
    <t>OD1302-068</t>
  </si>
  <si>
    <t>H0248</t>
  </si>
  <si>
    <t>MB190</t>
  </si>
  <si>
    <t>pu</t>
  </si>
  <si>
    <t>OD1302-107</t>
  </si>
  <si>
    <t>H0200</t>
  </si>
  <si>
    <t>MB141</t>
  </si>
  <si>
    <t>OD1302-108</t>
  </si>
  <si>
    <t>H0201</t>
  </si>
  <si>
    <t>MB141A</t>
  </si>
  <si>
    <t>M4</t>
  </si>
  <si>
    <t>M5</t>
  </si>
  <si>
    <t>M7</t>
  </si>
  <si>
    <t>M9</t>
  </si>
  <si>
    <t>M37</t>
  </si>
  <si>
    <t>mDW_Fl</t>
  </si>
  <si>
    <t>mDW_Lf</t>
  </si>
  <si>
    <t>mDW_St</t>
  </si>
  <si>
    <t>mFl[1]</t>
  </si>
  <si>
    <t>mFl[2]</t>
  </si>
  <si>
    <t>mFl[3]</t>
  </si>
  <si>
    <t>mInt_Dia</t>
  </si>
  <si>
    <t>mInt_L</t>
  </si>
  <si>
    <t>mInt_No</t>
  </si>
  <si>
    <t>mLSR</t>
  </si>
  <si>
    <t>mLWR</t>
  </si>
  <si>
    <t>mSWR</t>
  </si>
  <si>
    <t>mStm_Angle</t>
  </si>
  <si>
    <t>mStm_L</t>
  </si>
  <si>
    <t>mStm_No</t>
  </si>
  <si>
    <t xml:space="preserve">2015 MORPHOLOGY </t>
  </si>
  <si>
    <t>-</t>
  </si>
  <si>
    <t>Leaf Weight Ratio ?</t>
  </si>
  <si>
    <t>Leaf-Stem Ratio ?</t>
  </si>
  <si>
    <t>Stem Weight Ratio ?</t>
  </si>
  <si>
    <t>Biomass-rating</t>
  </si>
  <si>
    <t xml:space="preserve">E-score </t>
  </si>
  <si>
    <t>Measurement Type</t>
  </si>
  <si>
    <t>Clarification Needed</t>
  </si>
  <si>
    <t>Unit</t>
  </si>
  <si>
    <t>Stem Thickness Rating</t>
  </si>
  <si>
    <t xml:space="preserve">Heading 50% </t>
  </si>
  <si>
    <t>Leaf Width Rating</t>
  </si>
  <si>
    <t>Flowering initialization</t>
  </si>
  <si>
    <t>Flowering speed</t>
  </si>
  <si>
    <t>Measurement Number</t>
  </si>
  <si>
    <t>2015 sheet</t>
  </si>
  <si>
    <t>Dry Weight (g) // derived, 2018 sheet only (2022 canonical: M34)</t>
  </si>
  <si>
    <t>Fresh Weight Stems of Central Plants (g) // derived, 2018 sheet only (2022 canonical: M36)</t>
  </si>
  <si>
    <t>HD50%</t>
  </si>
  <si>
    <t>Mean Stem Length (cm) // Research Rens Autumn 2016</t>
  </si>
  <si>
    <t>Mean Number of stem internodia // Research Rens Autumn 2016</t>
  </si>
  <si>
    <t>Mean stem diameter // Research Rens Autumn 2016</t>
  </si>
  <si>
    <t>Mean Dry Weight Inflorescences // Research Rens Autumn 2016</t>
  </si>
  <si>
    <t>Mean Dry Weight Leaves // Research Rens Autumn 2016</t>
  </si>
  <si>
    <t>Mean Dry Weight Stems // Research Rens Autumn 2016</t>
  </si>
  <si>
    <t>Stem firmness // Research Rens Autumn 2016</t>
  </si>
  <si>
    <t>Mean Number of Stems // Research Rens Autumn 2016</t>
  </si>
  <si>
    <t>Leaf Weight Ratio in Total Dry Weight // Research Rens Autumn 2016</t>
  </si>
  <si>
    <t>Leaf-Stem Weight Ratio // Research Rens Autumn 2016</t>
  </si>
  <si>
    <t>Stem Weight Ratio in Total Dry Weight // Research Rens Autumn 2016</t>
  </si>
  <si>
    <t>Heading date // Research Rens Autumn 2016</t>
  </si>
  <si>
    <t>Heading 50% // Research Rens Autumn 2016</t>
  </si>
  <si>
    <t>mFl[3] // Research Rens Autumn 2016</t>
  </si>
  <si>
    <t>Mean Internodium Length (cm) // Research Rens Autumn 2016</t>
  </si>
  <si>
    <t>Rens  2016</t>
  </si>
  <si>
    <t>More precise harvesting dates for (2015, 2016, 2017, 2019 etc)</t>
  </si>
  <si>
    <t>Info Needed about irrigation type &amp; amount</t>
  </si>
  <si>
    <t xml:space="preserve">Same for fertilizer </t>
  </si>
  <si>
    <t>Unit &amp; Meaning</t>
  </si>
  <si>
    <t xml:space="preserve">ratio towards which total dry weight ? </t>
  </si>
  <si>
    <t>flowering 50pct</t>
  </si>
  <si>
    <t>DERIVED YIELD (t/ha)</t>
  </si>
  <si>
    <t>Yield 2018</t>
  </si>
  <si>
    <t>Yield 2024</t>
  </si>
  <si>
    <t>Yield DM (t/ha) // 2018</t>
  </si>
  <si>
    <t>Yield DM (t/ha) // 2024</t>
  </si>
  <si>
    <t>+ when harvest 2015, 2016 mentioned … does this mean it represents the yield for the growing season 2014, 2015 respectively ?</t>
  </si>
  <si>
    <t>Rens Autumn 2016</t>
  </si>
  <si>
    <t>Stem Weight Ratio &amp; Leaf Weight Ratio</t>
  </si>
  <si>
    <t>Ratio towards which dry weight? : doesn't seem to be measured in 2016</t>
  </si>
  <si>
    <t>More precise sowing dates for 2013 : (dd-mm-yyyy)</t>
  </si>
  <si>
    <t xml:space="preserve"> </t>
  </si>
  <si>
    <t>SLATB</t>
  </si>
  <si>
    <t>SSATB</t>
  </si>
  <si>
    <t>FLTB</t>
  </si>
  <si>
    <t>FSTB</t>
  </si>
  <si>
    <t>P.</t>
  </si>
  <si>
    <t>G.A.</t>
  </si>
  <si>
    <t>P.D.</t>
  </si>
  <si>
    <t>VERNBASE</t>
  </si>
  <si>
    <t>E. | AgroM.</t>
  </si>
  <si>
    <t xml:space="preserve">Avg : </t>
  </si>
  <si>
    <t xml:space="preserve">Avg Radius : </t>
  </si>
  <si>
    <t xml:space="preserve">Avg Area : </t>
  </si>
  <si>
    <t>cm</t>
  </si>
  <si>
    <t>cm^2</t>
  </si>
  <si>
    <t>: SSATB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</si>
</sst>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9"/>
      <color rgb="FF999999"/>
      <name val="Arial"/>
      <family val="2"/>
    </font>
    <font>
      <i/>
      <sz val="8"/>
      <color rgb="FF4472C4"/>
      <name val="Arial"/>
      <family val="2"/>
    </font>
    <font>
      <i/>
      <sz val="8"/>
      <color rgb="FF999999"/>
      <name val="Arial"/>
      <family val="2"/>
    </font>
    <font>
      <sz val="10"/>
      <name val="Arial"/>
      <family val="2"/>
    </font>
    <font>
      <sz val="10"/>
      <color rgb="FF999999"/>
      <name val="Arial"/>
      <family val="2"/>
    </font>
    <font>
      <b/>
      <sz val="15"/>
      <color theme="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08080"/>
      </patternFill>
    </fill>
    <fill>
      <patternFill patternType="solid">
        <fgColor rgb="FF2E75B6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D6DCE4"/>
      </patternFill>
    </fill>
    <fill>
      <patternFill patternType="solid">
        <fgColor rgb="FFE8E8E8"/>
      </patternFill>
    </fill>
    <fill>
      <patternFill patternType="solid">
        <fgColor rgb="FFEDF1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2" applyNumberFormat="0" applyFill="0" applyAlignment="0" applyProtection="0"/>
  </cellStyleXfs>
  <cellXfs count="2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8" fillId="0" borderId="2" xfId="1" applyAlignment="1">
      <alignment vertical="center"/>
    </xf>
    <xf numFmtId="0" fontId="1" fillId="7" borderId="3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0" fillId="0" borderId="0" xfId="0" quotePrefix="1"/>
    <xf numFmtId="2" fontId="6" fillId="0" borderId="1" xfId="0" applyNumberFormat="1" applyFont="1" applyBorder="1" applyAlignment="1">
      <alignment horizontal="center"/>
    </xf>
    <xf numFmtId="2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6"/>
  <sheetViews>
    <sheetView tabSelected="1" zoomScale="125" zoomScaleNormal="120" workbookViewId="0">
      <pane xSplit="5" ySplit="3" topLeftCell="U4" activePane="bottomRight" state="frozen"/>
      <selection pane="topRight"/>
      <selection pane="bottomLeft"/>
      <selection pane="bottomRight" activeCell="CU20" sqref="CU20"/>
    </sheetView>
  </sheetViews>
  <sheetFormatPr baseColWidth="10" defaultColWidth="15.83203125" defaultRowHeight="15" x14ac:dyDescent="0.2"/>
  <sheetData>
    <row r="1" spans="1:102" ht="20" customHeight="1" x14ac:dyDescent="0.2">
      <c r="A1" s="18" t="s">
        <v>0</v>
      </c>
      <c r="B1" s="15"/>
      <c r="C1" s="15"/>
      <c r="D1" s="15"/>
      <c r="E1" s="15"/>
      <c r="F1" s="14" t="s">
        <v>1</v>
      </c>
      <c r="G1" s="15"/>
      <c r="H1" s="15"/>
      <c r="I1" s="19" t="s">
        <v>2</v>
      </c>
      <c r="J1" s="15"/>
      <c r="K1" s="15"/>
      <c r="L1" s="15"/>
      <c r="M1" s="15"/>
      <c r="N1" s="15"/>
      <c r="O1" s="15"/>
      <c r="P1" s="19" t="s">
        <v>204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20" t="s">
        <v>3</v>
      </c>
      <c r="AE1" s="15"/>
      <c r="AF1" s="15"/>
      <c r="AG1" s="15"/>
      <c r="AH1" s="15"/>
      <c r="AI1" s="15"/>
      <c r="AJ1" s="15"/>
      <c r="AK1" s="15"/>
      <c r="AL1" s="15"/>
      <c r="AM1" s="14">
        <v>2016</v>
      </c>
      <c r="AN1" s="15"/>
      <c r="AO1" s="15"/>
      <c r="AP1" s="15"/>
      <c r="AQ1" s="23" t="s">
        <v>239</v>
      </c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16" t="s">
        <v>4</v>
      </c>
      <c r="BJ1" s="16"/>
      <c r="BK1" s="16"/>
      <c r="BL1" s="16"/>
      <c r="BM1" s="16"/>
      <c r="BN1" s="16"/>
      <c r="BO1" s="16"/>
      <c r="BP1" s="17">
        <v>2017</v>
      </c>
      <c r="BQ1" s="17"/>
      <c r="BR1" s="17"/>
      <c r="BS1" s="17"/>
      <c r="BT1" s="16" t="s">
        <v>5</v>
      </c>
      <c r="BU1" s="16"/>
      <c r="BV1" s="16"/>
      <c r="BW1" s="16" t="s">
        <v>6</v>
      </c>
      <c r="BX1" s="16"/>
      <c r="BY1" s="16"/>
      <c r="CA1" s="9" t="s">
        <v>7</v>
      </c>
      <c r="CB1" s="16" t="s">
        <v>8</v>
      </c>
      <c r="CC1" s="16"/>
      <c r="CD1" s="16"/>
      <c r="CE1" s="16"/>
      <c r="CF1" s="1">
        <v>2020</v>
      </c>
      <c r="CG1" s="16" t="s">
        <v>9</v>
      </c>
      <c r="CH1" s="16"/>
      <c r="CI1" s="16"/>
      <c r="CJ1" s="16" t="s">
        <v>10</v>
      </c>
      <c r="CK1" s="16"/>
      <c r="CL1" s="16"/>
      <c r="CM1" s="16"/>
      <c r="CN1" s="21" t="s">
        <v>11</v>
      </c>
      <c r="CO1" s="21"/>
      <c r="CP1" s="21"/>
      <c r="CQ1" s="21"/>
      <c r="CR1" s="21"/>
      <c r="CS1" s="21"/>
      <c r="CT1" s="22" t="s">
        <v>12</v>
      </c>
      <c r="CU1" s="22"/>
      <c r="CV1" s="22"/>
      <c r="CW1" s="21" t="s">
        <v>246</v>
      </c>
      <c r="CX1" s="21"/>
    </row>
    <row r="2" spans="1:102" ht="28" customHeight="1" x14ac:dyDescent="0.2">
      <c r="A2" s="2" t="s">
        <v>256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3" t="s">
        <v>44</v>
      </c>
      <c r="AH2" s="2" t="s">
        <v>45</v>
      </c>
      <c r="AI2" s="3" t="s">
        <v>46</v>
      </c>
      <c r="AJ2" s="2" t="s">
        <v>47</v>
      </c>
      <c r="AK2" s="2" t="s">
        <v>48</v>
      </c>
      <c r="AL2" s="2" t="s">
        <v>49</v>
      </c>
      <c r="AM2" s="3" t="s">
        <v>50</v>
      </c>
      <c r="AN2" s="3" t="s">
        <v>51</v>
      </c>
      <c r="AO2" s="2" t="s">
        <v>52</v>
      </c>
      <c r="AP2" s="3" t="s">
        <v>53</v>
      </c>
      <c r="AQ2" s="2" t="s">
        <v>54</v>
      </c>
      <c r="AR2" s="2" t="s">
        <v>55</v>
      </c>
      <c r="AS2" s="2" t="s">
        <v>56</v>
      </c>
      <c r="AT2" s="2" t="s">
        <v>202</v>
      </c>
      <c r="AU2" s="2" t="s">
        <v>197</v>
      </c>
      <c r="AV2" s="2" t="s">
        <v>195</v>
      </c>
      <c r="AW2" s="2" t="s">
        <v>189</v>
      </c>
      <c r="AX2" s="2" t="s">
        <v>190</v>
      </c>
      <c r="AY2" s="2" t="s">
        <v>191</v>
      </c>
      <c r="AZ2" s="2" t="s">
        <v>201</v>
      </c>
      <c r="BA2" s="2" t="s">
        <v>203</v>
      </c>
      <c r="BB2" s="2" t="s">
        <v>199</v>
      </c>
      <c r="BC2" s="2" t="s">
        <v>198</v>
      </c>
      <c r="BD2" s="2" t="s">
        <v>200</v>
      </c>
      <c r="BE2" s="2" t="s">
        <v>192</v>
      </c>
      <c r="BF2" s="2" t="s">
        <v>193</v>
      </c>
      <c r="BG2" s="2" t="s">
        <v>194</v>
      </c>
      <c r="BH2" s="2" t="s">
        <v>196</v>
      </c>
      <c r="BI2" s="2" t="s">
        <v>57</v>
      </c>
      <c r="BJ2" s="2" t="s">
        <v>58</v>
      </c>
      <c r="BK2" s="2" t="s">
        <v>59</v>
      </c>
      <c r="BL2" s="2" t="s">
        <v>60</v>
      </c>
      <c r="BM2" s="2" t="s">
        <v>61</v>
      </c>
      <c r="BN2" s="2" t="s">
        <v>62</v>
      </c>
      <c r="BO2" s="2" t="s">
        <v>63</v>
      </c>
      <c r="BP2" s="2" t="s">
        <v>64</v>
      </c>
      <c r="BQ2" s="3" t="s">
        <v>65</v>
      </c>
      <c r="BR2" s="3" t="s">
        <v>66</v>
      </c>
      <c r="BS2" s="3" t="s">
        <v>67</v>
      </c>
      <c r="BT2" s="2" t="s">
        <v>68</v>
      </c>
      <c r="BU2" s="2" t="s">
        <v>188</v>
      </c>
      <c r="BV2" s="2" t="s">
        <v>69</v>
      </c>
      <c r="BW2" s="2" t="s">
        <v>71</v>
      </c>
      <c r="BX2" s="2" t="s">
        <v>70</v>
      </c>
      <c r="BY2" s="2" t="s">
        <v>72</v>
      </c>
      <c r="CA2" s="2" t="s">
        <v>73</v>
      </c>
      <c r="CB2" s="2" t="s">
        <v>74</v>
      </c>
      <c r="CC2" s="2" t="s">
        <v>75</v>
      </c>
      <c r="CD2" s="2" t="s">
        <v>76</v>
      </c>
      <c r="CE2" s="2" t="s">
        <v>77</v>
      </c>
      <c r="CF2" s="3" t="s">
        <v>78</v>
      </c>
      <c r="CG2" s="2" t="s">
        <v>79</v>
      </c>
      <c r="CH2" s="2" t="s">
        <v>80</v>
      </c>
      <c r="CI2" s="2" t="s">
        <v>81</v>
      </c>
      <c r="CJ2" s="2" t="s">
        <v>82</v>
      </c>
      <c r="CK2" s="2" t="s">
        <v>83</v>
      </c>
      <c r="CL2" s="2" t="s">
        <v>84</v>
      </c>
      <c r="CM2" s="2" t="s">
        <v>85</v>
      </c>
      <c r="CN2" s="2" t="s">
        <v>86</v>
      </c>
      <c r="CO2" s="2" t="s">
        <v>87</v>
      </c>
      <c r="CP2" s="2" t="s">
        <v>88</v>
      </c>
      <c r="CQ2" s="2" t="s">
        <v>89</v>
      </c>
      <c r="CR2" s="2" t="s">
        <v>90</v>
      </c>
      <c r="CS2" s="2" t="s">
        <v>91</v>
      </c>
      <c r="CT2" s="2" t="s">
        <v>92</v>
      </c>
      <c r="CU2" s="2" t="s">
        <v>93</v>
      </c>
      <c r="CV2" s="2" t="s">
        <v>94</v>
      </c>
      <c r="CW2" s="10" t="s">
        <v>248</v>
      </c>
      <c r="CX2" s="10" t="s">
        <v>247</v>
      </c>
    </row>
    <row r="3" spans="1:102" ht="50" customHeight="1" x14ac:dyDescent="0.2">
      <c r="A3" s="4"/>
      <c r="B3" s="4"/>
      <c r="C3" s="4"/>
      <c r="D3" s="4"/>
      <c r="E3" s="4"/>
      <c r="F3" s="5" t="s">
        <v>95</v>
      </c>
      <c r="G3" s="5" t="s">
        <v>96</v>
      </c>
      <c r="H3" s="5" t="s">
        <v>97</v>
      </c>
      <c r="I3" s="4" t="s">
        <v>98</v>
      </c>
      <c r="J3" s="4" t="s">
        <v>99</v>
      </c>
      <c r="K3" s="4" t="s">
        <v>100</v>
      </c>
      <c r="L3" s="4" t="s">
        <v>101</v>
      </c>
      <c r="M3" s="5" t="s">
        <v>102</v>
      </c>
      <c r="N3" s="4" t="s">
        <v>103</v>
      </c>
      <c r="O3" s="4" t="s">
        <v>104</v>
      </c>
      <c r="P3" s="4" t="s">
        <v>205</v>
      </c>
      <c r="Q3" s="4" t="s">
        <v>205</v>
      </c>
      <c r="R3" s="4" t="s">
        <v>205</v>
      </c>
      <c r="S3" s="4" t="s">
        <v>205</v>
      </c>
      <c r="T3" s="4" t="s">
        <v>205</v>
      </c>
      <c r="U3" s="4" t="s">
        <v>205</v>
      </c>
      <c r="V3" s="4" t="s">
        <v>205</v>
      </c>
      <c r="W3" s="4" t="s">
        <v>205</v>
      </c>
      <c r="X3" s="4" t="s">
        <v>206</v>
      </c>
      <c r="Y3" s="4" t="s">
        <v>207</v>
      </c>
      <c r="Z3" s="4" t="s">
        <v>208</v>
      </c>
      <c r="AA3" s="4" t="s">
        <v>205</v>
      </c>
      <c r="AB3" s="4" t="s">
        <v>205</v>
      </c>
      <c r="AC3" s="4" t="s">
        <v>205</v>
      </c>
      <c r="AD3" s="4" t="s">
        <v>105</v>
      </c>
      <c r="AE3" s="4" t="s">
        <v>106</v>
      </c>
      <c r="AF3" s="4" t="s">
        <v>107</v>
      </c>
      <c r="AG3" s="5" t="s">
        <v>108</v>
      </c>
      <c r="AH3" s="4" t="s">
        <v>109</v>
      </c>
      <c r="AI3" s="5" t="s">
        <v>110</v>
      </c>
      <c r="AJ3" s="4" t="s">
        <v>111</v>
      </c>
      <c r="AK3" s="4" t="s">
        <v>112</v>
      </c>
      <c r="AL3" s="4" t="s">
        <v>113</v>
      </c>
      <c r="AM3" s="5" t="s">
        <v>114</v>
      </c>
      <c r="AN3" s="5" t="s">
        <v>115</v>
      </c>
      <c r="AO3" s="4" t="s">
        <v>116</v>
      </c>
      <c r="AP3" s="5" t="s">
        <v>117</v>
      </c>
      <c r="AQ3" s="4" t="s">
        <v>118</v>
      </c>
      <c r="AR3" s="4" t="s">
        <v>119</v>
      </c>
      <c r="AS3" s="4" t="s">
        <v>120</v>
      </c>
      <c r="AT3" s="4" t="s">
        <v>224</v>
      </c>
      <c r="AU3" s="4" t="s">
        <v>225</v>
      </c>
      <c r="AV3" s="4" t="s">
        <v>226</v>
      </c>
      <c r="AW3" s="4" t="s">
        <v>227</v>
      </c>
      <c r="AX3" s="4" t="s">
        <v>228</v>
      </c>
      <c r="AY3" s="4" t="s">
        <v>229</v>
      </c>
      <c r="AZ3" s="4" t="s">
        <v>230</v>
      </c>
      <c r="BA3" s="4" t="s">
        <v>231</v>
      </c>
      <c r="BB3" s="4" t="s">
        <v>232</v>
      </c>
      <c r="BC3" s="4" t="s">
        <v>233</v>
      </c>
      <c r="BD3" s="4" t="s">
        <v>234</v>
      </c>
      <c r="BE3" s="4" t="s">
        <v>235</v>
      </c>
      <c r="BF3" s="4" t="s">
        <v>236</v>
      </c>
      <c r="BG3" s="4" t="s">
        <v>237</v>
      </c>
      <c r="BH3" s="4" t="s">
        <v>238</v>
      </c>
      <c r="BI3" s="4" t="s">
        <v>121</v>
      </c>
      <c r="BJ3" s="4" t="s">
        <v>122</v>
      </c>
      <c r="BK3" s="4" t="s">
        <v>123</v>
      </c>
      <c r="BL3" s="4" t="s">
        <v>124</v>
      </c>
      <c r="BM3" s="4" t="s">
        <v>125</v>
      </c>
      <c r="BN3" s="4" t="s">
        <v>126</v>
      </c>
      <c r="BO3" s="4" t="s">
        <v>127</v>
      </c>
      <c r="BP3" s="4" t="s">
        <v>128</v>
      </c>
      <c r="BQ3" s="5" t="s">
        <v>129</v>
      </c>
      <c r="BR3" s="5" t="s">
        <v>130</v>
      </c>
      <c r="BS3" s="5" t="s">
        <v>131</v>
      </c>
      <c r="BT3" s="4" t="s">
        <v>132</v>
      </c>
      <c r="BU3" s="4" t="s">
        <v>133</v>
      </c>
      <c r="BV3" s="4" t="s">
        <v>134</v>
      </c>
      <c r="BW3" s="4" t="s">
        <v>221</v>
      </c>
      <c r="BX3" s="4" t="s">
        <v>222</v>
      </c>
      <c r="BY3" s="4" t="s">
        <v>135</v>
      </c>
      <c r="CA3" s="4" t="s">
        <v>136</v>
      </c>
      <c r="CB3" s="4" t="s">
        <v>137</v>
      </c>
      <c r="CC3" s="4" t="s">
        <v>138</v>
      </c>
      <c r="CD3" s="4" t="s">
        <v>139</v>
      </c>
      <c r="CE3" s="4" t="s">
        <v>140</v>
      </c>
      <c r="CF3" s="5" t="s">
        <v>141</v>
      </c>
      <c r="CG3" s="4" t="s">
        <v>142</v>
      </c>
      <c r="CH3" s="4" t="s">
        <v>143</v>
      </c>
      <c r="CI3" s="4" t="s">
        <v>144</v>
      </c>
      <c r="CJ3" s="4" t="s">
        <v>145</v>
      </c>
      <c r="CK3" s="4" t="s">
        <v>146</v>
      </c>
      <c r="CL3" s="4" t="s">
        <v>147</v>
      </c>
      <c r="CM3" s="4" t="s">
        <v>148</v>
      </c>
      <c r="CN3" s="4" t="s">
        <v>149</v>
      </c>
      <c r="CO3" s="4" t="s">
        <v>150</v>
      </c>
      <c r="CP3" s="4" t="s">
        <v>151</v>
      </c>
      <c r="CQ3" s="4" t="s">
        <v>152</v>
      </c>
      <c r="CR3" s="4" t="s">
        <v>153</v>
      </c>
      <c r="CS3" s="4" t="s">
        <v>154</v>
      </c>
      <c r="CT3" s="4" t="s">
        <v>155</v>
      </c>
      <c r="CU3" s="4" t="s">
        <v>156</v>
      </c>
      <c r="CV3" s="4" t="s">
        <v>157</v>
      </c>
      <c r="CW3" s="4" t="s">
        <v>250</v>
      </c>
      <c r="CX3" s="4" t="s">
        <v>249</v>
      </c>
    </row>
    <row r="4" spans="1:102" x14ac:dyDescent="0.2">
      <c r="A4" s="6" t="s">
        <v>158</v>
      </c>
      <c r="B4" s="6" t="s">
        <v>159</v>
      </c>
      <c r="C4" s="6" t="s">
        <v>160</v>
      </c>
      <c r="D4" s="6" t="s">
        <v>161</v>
      </c>
      <c r="E4" s="6">
        <v>2013</v>
      </c>
      <c r="F4" s="7">
        <v>1</v>
      </c>
      <c r="G4" s="7">
        <v>0</v>
      </c>
      <c r="H4" s="7">
        <v>0</v>
      </c>
      <c r="I4" s="6">
        <v>8</v>
      </c>
      <c r="J4" s="6">
        <v>62</v>
      </c>
      <c r="K4" s="6" t="s">
        <v>162</v>
      </c>
      <c r="L4" s="6">
        <v>6</v>
      </c>
      <c r="M4" s="7">
        <v>0</v>
      </c>
      <c r="N4" s="6">
        <v>6</v>
      </c>
      <c r="O4" s="6">
        <v>210</v>
      </c>
      <c r="P4" s="6">
        <v>229.4</v>
      </c>
      <c r="Q4" s="6">
        <v>7.5</v>
      </c>
      <c r="R4" s="6">
        <v>5.34</v>
      </c>
      <c r="S4" s="6">
        <v>26.64</v>
      </c>
      <c r="T4" s="6">
        <v>71.099999999999994</v>
      </c>
      <c r="U4" s="6">
        <v>159.19999999999999</v>
      </c>
      <c r="V4" s="6">
        <v>20</v>
      </c>
      <c r="W4" s="6">
        <v>80</v>
      </c>
      <c r="X4" s="6">
        <v>0.2767</v>
      </c>
      <c r="Y4" s="6">
        <v>0.4466</v>
      </c>
      <c r="Z4" s="6">
        <v>0.61960000000000004</v>
      </c>
      <c r="AA4" s="6">
        <v>39</v>
      </c>
      <c r="AB4" s="6">
        <v>48</v>
      </c>
      <c r="AC4" s="6">
        <v>41</v>
      </c>
      <c r="AD4" s="6">
        <v>8</v>
      </c>
      <c r="AE4" s="6">
        <v>7</v>
      </c>
      <c r="AF4" s="6">
        <v>3173</v>
      </c>
      <c r="AG4" s="7">
        <v>1</v>
      </c>
      <c r="AH4" s="6">
        <v>4</v>
      </c>
      <c r="AI4" s="7">
        <v>1</v>
      </c>
      <c r="AJ4" s="6">
        <v>1106</v>
      </c>
      <c r="AK4" s="6">
        <v>971</v>
      </c>
      <c r="AL4" s="6">
        <v>883</v>
      </c>
      <c r="AM4" s="7">
        <v>0</v>
      </c>
      <c r="AN4" s="7">
        <v>0</v>
      </c>
      <c r="AO4" s="6">
        <v>8</v>
      </c>
      <c r="AP4" s="7">
        <v>1</v>
      </c>
      <c r="AQ4" s="6">
        <v>9.68</v>
      </c>
      <c r="AR4" s="6">
        <v>50.88</v>
      </c>
      <c r="AS4" s="6">
        <v>28.52</v>
      </c>
      <c r="AT4" s="6">
        <v>224.04</v>
      </c>
      <c r="AU4" s="6">
        <v>7.5</v>
      </c>
      <c r="AV4" s="6">
        <v>5.3003999999999998</v>
      </c>
      <c r="AW4" s="6">
        <v>23.09</v>
      </c>
      <c r="AX4" s="6">
        <v>69.25</v>
      </c>
      <c r="AY4" s="6">
        <v>146.44999999999999</v>
      </c>
      <c r="AZ4" s="6">
        <v>20</v>
      </c>
      <c r="BA4" s="6">
        <v>72.5</v>
      </c>
      <c r="BB4" s="6">
        <v>0.29110000000000003</v>
      </c>
      <c r="BC4" s="6">
        <v>0.47539999999999999</v>
      </c>
      <c r="BD4" s="6">
        <v>0.61280000000000001</v>
      </c>
      <c r="BE4" s="6">
        <v>39</v>
      </c>
      <c r="BF4" s="6">
        <v>48</v>
      </c>
      <c r="BG4" s="6">
        <v>41</v>
      </c>
      <c r="BH4" s="6">
        <v>30.59</v>
      </c>
      <c r="BI4" s="6">
        <v>1</v>
      </c>
      <c r="BJ4" s="6">
        <v>8</v>
      </c>
      <c r="BK4" s="6">
        <v>4466</v>
      </c>
      <c r="BL4" s="6">
        <v>4</v>
      </c>
      <c r="BM4" s="6">
        <v>1120</v>
      </c>
      <c r="BN4" s="6">
        <v>901</v>
      </c>
      <c r="BO4" s="6">
        <v>788</v>
      </c>
      <c r="BP4" s="6">
        <v>8</v>
      </c>
      <c r="BQ4" s="7">
        <v>0</v>
      </c>
      <c r="BR4" s="7">
        <v>1</v>
      </c>
      <c r="BS4" s="7">
        <v>0</v>
      </c>
      <c r="BT4" s="6">
        <v>3033</v>
      </c>
      <c r="BU4" s="6">
        <v>84.69</v>
      </c>
      <c r="BV4" s="6">
        <v>96.56</v>
      </c>
      <c r="BW4" s="6">
        <v>2928.8</v>
      </c>
      <c r="BX4" s="6">
        <v>2568.5</v>
      </c>
      <c r="BY4" s="6">
        <v>2480.3000000000002</v>
      </c>
      <c r="CA4" s="6">
        <v>239</v>
      </c>
      <c r="CB4" s="6">
        <v>7</v>
      </c>
      <c r="CC4" s="6">
        <v>3451</v>
      </c>
      <c r="CD4" s="6">
        <v>594</v>
      </c>
      <c r="CE4" s="6">
        <v>543</v>
      </c>
      <c r="CF4" s="7">
        <v>1</v>
      </c>
      <c r="CG4" s="6">
        <v>2773</v>
      </c>
      <c r="CH4" s="6">
        <v>646</v>
      </c>
      <c r="CI4" s="6">
        <v>537</v>
      </c>
      <c r="CJ4" s="6">
        <v>1</v>
      </c>
      <c r="CK4" s="6">
        <v>3.32</v>
      </c>
      <c r="CL4" s="6">
        <v>607</v>
      </c>
      <c r="CM4" s="6">
        <v>486</v>
      </c>
      <c r="CN4" s="6">
        <v>11.39</v>
      </c>
      <c r="CO4" s="6">
        <v>15.97</v>
      </c>
      <c r="CP4" s="6">
        <v>12.4</v>
      </c>
      <c r="CQ4" s="6">
        <v>14.11</v>
      </c>
      <c r="CR4" s="6">
        <v>13.47</v>
      </c>
      <c r="CS4" s="6">
        <v>12.32</v>
      </c>
      <c r="CT4" s="6">
        <v>1988</v>
      </c>
      <c r="CU4" s="6">
        <v>597</v>
      </c>
      <c r="CV4" s="6">
        <v>530</v>
      </c>
      <c r="CW4" s="12">
        <f>$CT4/225</f>
        <v>8.8355555555555547</v>
      </c>
      <c r="CX4" s="12">
        <f>$BT4/225</f>
        <v>13.48</v>
      </c>
    </row>
    <row r="5" spans="1:102" x14ac:dyDescent="0.2">
      <c r="A5" s="6" t="s">
        <v>163</v>
      </c>
      <c r="B5" s="6" t="s">
        <v>164</v>
      </c>
      <c r="C5" s="6" t="s">
        <v>165</v>
      </c>
      <c r="D5" s="6" t="s">
        <v>161</v>
      </c>
      <c r="E5" s="6">
        <v>2013</v>
      </c>
      <c r="F5" s="7">
        <v>0</v>
      </c>
      <c r="G5" s="7">
        <v>0</v>
      </c>
      <c r="H5" s="7">
        <v>0</v>
      </c>
      <c r="I5" s="6">
        <v>9</v>
      </c>
      <c r="J5" s="6" t="s">
        <v>166</v>
      </c>
      <c r="K5" s="6" t="s">
        <v>166</v>
      </c>
      <c r="L5" s="6">
        <v>6</v>
      </c>
      <c r="M5" s="7">
        <v>0</v>
      </c>
      <c r="N5" s="6">
        <v>6</v>
      </c>
      <c r="O5" s="6">
        <v>210</v>
      </c>
      <c r="P5" s="6">
        <v>223.8</v>
      </c>
      <c r="Q5" s="6">
        <v>13.42</v>
      </c>
      <c r="R5" s="6">
        <v>6.46</v>
      </c>
      <c r="S5" s="6">
        <v>25.79</v>
      </c>
      <c r="T5" s="6">
        <v>124.8</v>
      </c>
      <c r="U5" s="6">
        <v>312.60000000000002</v>
      </c>
      <c r="V5" s="6">
        <v>10</v>
      </c>
      <c r="W5" s="6">
        <v>51.5</v>
      </c>
      <c r="X5" s="6">
        <v>0.26919999999999999</v>
      </c>
      <c r="Y5" s="6">
        <v>0.39879999999999999</v>
      </c>
      <c r="Z5" s="6">
        <v>0.67510000000000003</v>
      </c>
      <c r="AA5" s="6">
        <v>88</v>
      </c>
      <c r="AB5" s="6">
        <v>90</v>
      </c>
      <c r="AC5" s="6">
        <v>48</v>
      </c>
      <c r="AD5" s="6">
        <v>8</v>
      </c>
      <c r="AE5" s="6">
        <v>7</v>
      </c>
      <c r="AF5" s="6">
        <v>3269</v>
      </c>
      <c r="AG5" s="7">
        <v>1</v>
      </c>
      <c r="AH5" s="6">
        <v>4</v>
      </c>
      <c r="AI5" s="7">
        <v>1</v>
      </c>
      <c r="AJ5" s="6">
        <v>955</v>
      </c>
      <c r="AK5" s="6">
        <v>766</v>
      </c>
      <c r="AL5" s="6">
        <v>730</v>
      </c>
      <c r="AM5" s="7">
        <v>0</v>
      </c>
      <c r="AN5" s="7">
        <v>0</v>
      </c>
      <c r="AO5" s="6">
        <v>8</v>
      </c>
      <c r="AP5" s="7">
        <v>1</v>
      </c>
      <c r="AQ5" s="6">
        <v>9.81</v>
      </c>
      <c r="AR5" s="6">
        <v>51.58</v>
      </c>
      <c r="AS5" s="6">
        <v>28.24</v>
      </c>
      <c r="AT5" s="6">
        <v>223.83</v>
      </c>
      <c r="AU5" s="6">
        <v>13.416700000000001</v>
      </c>
      <c r="AV5" s="6">
        <v>6.4633000000000003</v>
      </c>
      <c r="AW5" s="6">
        <v>25.79</v>
      </c>
      <c r="AX5" s="6">
        <v>124.8</v>
      </c>
      <c r="AY5" s="6">
        <v>312.60000000000002</v>
      </c>
      <c r="AZ5" s="6">
        <v>10</v>
      </c>
      <c r="BA5" s="6">
        <v>43.25</v>
      </c>
      <c r="BB5" s="6">
        <v>0.26919999999999999</v>
      </c>
      <c r="BC5" s="6">
        <v>0.39879999999999999</v>
      </c>
      <c r="BD5" s="6">
        <v>0.67510000000000003</v>
      </c>
      <c r="BE5" s="6">
        <v>88</v>
      </c>
      <c r="BF5" s="6">
        <v>90</v>
      </c>
      <c r="BG5" s="6">
        <v>48</v>
      </c>
      <c r="BH5" s="6">
        <v>17.149999999999999</v>
      </c>
      <c r="BI5" s="6">
        <v>0</v>
      </c>
      <c r="BJ5" s="6">
        <v>8</v>
      </c>
      <c r="BK5" s="6">
        <v>4667</v>
      </c>
      <c r="BL5" s="6">
        <v>4</v>
      </c>
      <c r="BM5" s="6">
        <v>1069</v>
      </c>
      <c r="BN5" s="6">
        <v>751</v>
      </c>
      <c r="BO5" s="6">
        <v>663</v>
      </c>
      <c r="BP5" s="6">
        <v>7</v>
      </c>
      <c r="BQ5" s="7">
        <v>0</v>
      </c>
      <c r="BR5" s="7">
        <v>1</v>
      </c>
      <c r="BS5" s="7">
        <v>0</v>
      </c>
      <c r="BT5" s="6">
        <v>2793</v>
      </c>
      <c r="BU5" s="6">
        <v>54.05</v>
      </c>
      <c r="BV5" s="6">
        <v>94.74</v>
      </c>
      <c r="BW5" s="6">
        <v>2646.2</v>
      </c>
      <c r="BX5" s="6">
        <v>1509.7</v>
      </c>
      <c r="BY5" s="6">
        <v>1430.4</v>
      </c>
      <c r="CA5" s="6">
        <v>270</v>
      </c>
      <c r="CB5" s="6">
        <v>8</v>
      </c>
      <c r="CC5" s="6">
        <v>2839</v>
      </c>
      <c r="CD5" s="6">
        <v>501</v>
      </c>
      <c r="CE5" s="6">
        <v>434</v>
      </c>
      <c r="CF5" s="7">
        <v>1</v>
      </c>
      <c r="CG5" s="6">
        <v>2395</v>
      </c>
      <c r="CH5" s="6">
        <v>647</v>
      </c>
      <c r="CI5" s="6">
        <v>524</v>
      </c>
      <c r="CJ5" s="6">
        <v>1</v>
      </c>
      <c r="CK5" s="6">
        <v>2.2200000000000002</v>
      </c>
      <c r="CL5" s="6">
        <v>840</v>
      </c>
      <c r="CM5" s="6">
        <v>653</v>
      </c>
      <c r="CN5" s="6">
        <v>10.72</v>
      </c>
      <c r="CO5" s="6">
        <v>16.850000000000001</v>
      </c>
      <c r="CP5" s="6">
        <v>11.42</v>
      </c>
      <c r="CQ5" s="6">
        <v>11.61</v>
      </c>
      <c r="CR5" s="6">
        <v>12.65</v>
      </c>
      <c r="CS5" s="6">
        <v>10.64</v>
      </c>
      <c r="CT5" s="6">
        <v>1717</v>
      </c>
      <c r="CU5" s="6">
        <v>741</v>
      </c>
      <c r="CV5" s="6">
        <v>628</v>
      </c>
      <c r="CW5" s="12">
        <f t="shared" ref="CW5:CW10" si="0">$CT5/225</f>
        <v>7.6311111111111112</v>
      </c>
      <c r="CX5" s="12">
        <f t="shared" ref="CX5:CX10" si="1">$BT5/225</f>
        <v>12.413333333333334</v>
      </c>
    </row>
    <row r="6" spans="1:102" x14ac:dyDescent="0.2">
      <c r="A6" s="6" t="s">
        <v>167</v>
      </c>
      <c r="B6" s="6" t="s">
        <v>168</v>
      </c>
      <c r="C6" s="6" t="s">
        <v>169</v>
      </c>
      <c r="D6" s="6" t="s">
        <v>161</v>
      </c>
      <c r="E6" s="6">
        <v>2013</v>
      </c>
      <c r="F6" s="7">
        <v>3</v>
      </c>
      <c r="G6" s="7">
        <v>0</v>
      </c>
      <c r="H6" s="7">
        <v>0</v>
      </c>
      <c r="I6" s="6">
        <v>6</v>
      </c>
      <c r="J6" s="6">
        <v>64</v>
      </c>
      <c r="K6" s="6" t="s">
        <v>170</v>
      </c>
      <c r="L6" s="6">
        <v>5</v>
      </c>
      <c r="M6" s="7">
        <v>0</v>
      </c>
      <c r="N6" s="6">
        <v>8</v>
      </c>
      <c r="O6" s="6">
        <v>260</v>
      </c>
      <c r="P6" s="6">
        <v>280.2</v>
      </c>
      <c r="Q6" s="6"/>
      <c r="R6" s="6">
        <v>5.58</v>
      </c>
      <c r="S6" s="6">
        <v>22.74</v>
      </c>
      <c r="T6" s="6">
        <v>110.6</v>
      </c>
      <c r="U6" s="6">
        <v>307.7</v>
      </c>
      <c r="V6" s="6"/>
      <c r="W6" s="6">
        <v>83</v>
      </c>
      <c r="X6" s="6">
        <v>0.25080000000000002</v>
      </c>
      <c r="Y6" s="6">
        <v>0.3594</v>
      </c>
      <c r="Z6" s="6">
        <v>0.69769999999999999</v>
      </c>
      <c r="AA6" s="6"/>
      <c r="AB6" s="6"/>
      <c r="AC6" s="6"/>
      <c r="AD6" s="6">
        <v>7</v>
      </c>
      <c r="AE6" s="6">
        <v>7</v>
      </c>
      <c r="AF6" s="6">
        <v>2041</v>
      </c>
      <c r="AG6" s="7">
        <v>1</v>
      </c>
      <c r="AH6" s="6">
        <v>4</v>
      </c>
      <c r="AI6" s="7">
        <v>1</v>
      </c>
      <c r="AJ6" s="6">
        <v>918</v>
      </c>
      <c r="AK6" s="6">
        <v>763</v>
      </c>
      <c r="AL6" s="6">
        <v>724</v>
      </c>
      <c r="AM6" s="7">
        <v>0</v>
      </c>
      <c r="AN6" s="7">
        <v>0</v>
      </c>
      <c r="AO6" s="6">
        <v>8</v>
      </c>
      <c r="AP6" s="7">
        <v>1</v>
      </c>
      <c r="AQ6" s="6">
        <v>7.78</v>
      </c>
      <c r="AR6" s="6">
        <v>48.89</v>
      </c>
      <c r="AS6" s="6">
        <v>31.51</v>
      </c>
      <c r="AT6" s="6">
        <v>277.75</v>
      </c>
      <c r="AU6" s="6">
        <v>12.666700000000001</v>
      </c>
      <c r="AV6" s="6">
        <v>5.8578999999999999</v>
      </c>
      <c r="AW6" s="6">
        <v>32.04</v>
      </c>
      <c r="AX6" s="6">
        <v>114.1</v>
      </c>
      <c r="AY6" s="6">
        <v>366.9</v>
      </c>
      <c r="AZ6" s="6">
        <v>20</v>
      </c>
      <c r="BA6" s="6">
        <v>57</v>
      </c>
      <c r="BB6" s="6">
        <v>0.22589999999999999</v>
      </c>
      <c r="BC6" s="6">
        <v>0.31769999999999998</v>
      </c>
      <c r="BD6" s="6">
        <v>0.71299999999999997</v>
      </c>
      <c r="BE6" s="6">
        <v>48</v>
      </c>
      <c r="BF6" s="6">
        <v>57</v>
      </c>
      <c r="BG6" s="6">
        <v>41</v>
      </c>
      <c r="BH6" s="6">
        <v>21.73</v>
      </c>
      <c r="BI6" s="6">
        <v>3</v>
      </c>
      <c r="BJ6" s="6">
        <v>7</v>
      </c>
      <c r="BK6" s="6">
        <v>6052</v>
      </c>
      <c r="BL6" s="6">
        <v>4</v>
      </c>
      <c r="BM6" s="6">
        <v>1033</v>
      </c>
      <c r="BN6" s="6">
        <v>762</v>
      </c>
      <c r="BO6" s="6">
        <v>622</v>
      </c>
      <c r="BP6" s="6">
        <v>8</v>
      </c>
      <c r="BQ6" s="7">
        <v>0</v>
      </c>
      <c r="BR6" s="7">
        <v>1</v>
      </c>
      <c r="BS6" s="7">
        <v>0</v>
      </c>
      <c r="BT6" s="6">
        <v>3814</v>
      </c>
      <c r="BU6" s="6">
        <v>77.989999999999995</v>
      </c>
      <c r="BV6" s="6">
        <v>93.94</v>
      </c>
      <c r="BW6" s="6">
        <v>3582.9</v>
      </c>
      <c r="BX6" s="6">
        <v>2974.4</v>
      </c>
      <c r="BY6" s="6">
        <v>2794.1</v>
      </c>
      <c r="CA6" s="6">
        <v>239</v>
      </c>
      <c r="CB6" s="6">
        <v>8</v>
      </c>
      <c r="CC6" s="6">
        <v>3976</v>
      </c>
      <c r="CD6" s="6">
        <v>492</v>
      </c>
      <c r="CE6" s="6">
        <v>457</v>
      </c>
      <c r="CF6" s="7">
        <v>1</v>
      </c>
      <c r="CG6" s="6">
        <v>3287</v>
      </c>
      <c r="CH6" s="6">
        <v>703</v>
      </c>
      <c r="CI6" s="6">
        <v>591</v>
      </c>
      <c r="CJ6" s="6">
        <v>1</v>
      </c>
      <c r="CK6" s="6">
        <v>3.04</v>
      </c>
      <c r="CL6" s="6">
        <v>660</v>
      </c>
      <c r="CM6" s="6">
        <v>531</v>
      </c>
      <c r="CN6" s="6">
        <v>6.94</v>
      </c>
      <c r="CO6" s="6">
        <v>20.2</v>
      </c>
      <c r="CP6" s="6">
        <v>15.59</v>
      </c>
      <c r="CQ6" s="6">
        <v>16.260000000000002</v>
      </c>
      <c r="CR6" s="6">
        <v>14.75</v>
      </c>
      <c r="CS6" s="6">
        <v>14.61</v>
      </c>
      <c r="CT6" s="6">
        <v>2310</v>
      </c>
      <c r="CU6" s="6">
        <v>659</v>
      </c>
      <c r="CV6" s="6">
        <v>554</v>
      </c>
      <c r="CW6" s="12">
        <f t="shared" si="0"/>
        <v>10.266666666666667</v>
      </c>
      <c r="CX6" s="12">
        <f t="shared" si="1"/>
        <v>16.951111111111111</v>
      </c>
    </row>
    <row r="7" spans="1:102" x14ac:dyDescent="0.2">
      <c r="A7" s="6" t="s">
        <v>171</v>
      </c>
      <c r="B7" s="6" t="s">
        <v>172</v>
      </c>
      <c r="C7" s="6" t="s">
        <v>173</v>
      </c>
      <c r="D7" s="6" t="s">
        <v>161</v>
      </c>
      <c r="E7" s="6">
        <v>2013</v>
      </c>
      <c r="F7" s="7">
        <v>1</v>
      </c>
      <c r="G7" s="7">
        <v>0</v>
      </c>
      <c r="H7" s="7">
        <v>0</v>
      </c>
      <c r="I7" s="6">
        <v>6</v>
      </c>
      <c r="J7" s="6">
        <v>93</v>
      </c>
      <c r="K7" s="6" t="s">
        <v>162</v>
      </c>
      <c r="L7" s="6">
        <v>6</v>
      </c>
      <c r="M7" s="7">
        <v>1</v>
      </c>
      <c r="N7" s="6">
        <v>7</v>
      </c>
      <c r="O7" s="6">
        <v>260</v>
      </c>
      <c r="P7" s="6">
        <v>238.4</v>
      </c>
      <c r="Q7" s="6">
        <v>11.75</v>
      </c>
      <c r="R7" s="6">
        <v>7.62</v>
      </c>
      <c r="S7" s="6">
        <v>27.09</v>
      </c>
      <c r="T7" s="6">
        <v>226.8</v>
      </c>
      <c r="U7" s="6">
        <v>455.7</v>
      </c>
      <c r="V7" s="6">
        <v>20</v>
      </c>
      <c r="W7" s="6">
        <v>25.5</v>
      </c>
      <c r="X7" s="6">
        <v>0.31969999999999998</v>
      </c>
      <c r="Y7" s="6">
        <v>0.498</v>
      </c>
      <c r="Z7" s="6">
        <v>0.6421</v>
      </c>
      <c r="AA7" s="6">
        <v>74</v>
      </c>
      <c r="AB7" s="6">
        <v>83</v>
      </c>
      <c r="AC7" s="6">
        <v>41</v>
      </c>
      <c r="AD7" s="6">
        <v>5</v>
      </c>
      <c r="AE7" s="6">
        <v>8</v>
      </c>
      <c r="AF7" s="6">
        <v>4103</v>
      </c>
      <c r="AG7" s="7">
        <v>1</v>
      </c>
      <c r="AH7" s="6">
        <v>4</v>
      </c>
      <c r="AI7" s="7">
        <v>1</v>
      </c>
      <c r="AJ7" s="6">
        <v>1171</v>
      </c>
      <c r="AK7" s="6">
        <v>804</v>
      </c>
      <c r="AL7" s="6">
        <v>738</v>
      </c>
      <c r="AM7" s="7">
        <v>0</v>
      </c>
      <c r="AN7" s="7">
        <v>0</v>
      </c>
      <c r="AO7" s="6">
        <v>7</v>
      </c>
      <c r="AP7" s="7">
        <v>1</v>
      </c>
      <c r="AQ7" s="6">
        <v>8.32</v>
      </c>
      <c r="AR7" s="6">
        <v>47.29</v>
      </c>
      <c r="AS7" s="6">
        <v>32.24</v>
      </c>
      <c r="AT7" s="6">
        <v>238.42</v>
      </c>
      <c r="AU7" s="6">
        <v>11.75</v>
      </c>
      <c r="AV7" s="6">
        <v>7.62</v>
      </c>
      <c r="AW7" s="6">
        <v>27.09</v>
      </c>
      <c r="AX7" s="6">
        <v>226.85</v>
      </c>
      <c r="AY7" s="6">
        <v>455.7</v>
      </c>
      <c r="AZ7" s="6">
        <v>20</v>
      </c>
      <c r="BA7" s="6">
        <v>37.75</v>
      </c>
      <c r="BB7" s="6">
        <v>0.31969999999999998</v>
      </c>
      <c r="BC7" s="6">
        <v>0.498</v>
      </c>
      <c r="BD7" s="6">
        <v>0.6421</v>
      </c>
      <c r="BE7" s="6">
        <v>74</v>
      </c>
      <c r="BF7" s="6">
        <v>83</v>
      </c>
      <c r="BG7" s="6">
        <v>41</v>
      </c>
      <c r="BH7" s="6">
        <v>17.899999999999999</v>
      </c>
      <c r="BI7" s="6">
        <v>2</v>
      </c>
      <c r="BJ7" s="6">
        <v>6</v>
      </c>
      <c r="BK7" s="6">
        <v>5829</v>
      </c>
      <c r="BL7" s="6">
        <v>4</v>
      </c>
      <c r="BM7" s="6">
        <v>1058</v>
      </c>
      <c r="BN7" s="6">
        <v>738</v>
      </c>
      <c r="BO7" s="6">
        <v>545</v>
      </c>
      <c r="BP7" s="6">
        <v>7</v>
      </c>
      <c r="BQ7" s="7">
        <v>0</v>
      </c>
      <c r="BR7" s="7">
        <v>1</v>
      </c>
      <c r="BS7" s="7">
        <v>0</v>
      </c>
      <c r="BT7" s="6">
        <v>3538</v>
      </c>
      <c r="BU7" s="6">
        <v>73.739999999999995</v>
      </c>
      <c r="BV7" s="6">
        <v>94.31</v>
      </c>
      <c r="BW7" s="6">
        <v>3336.7</v>
      </c>
      <c r="BX7" s="6">
        <v>2608.8000000000002</v>
      </c>
      <c r="BY7" s="6">
        <v>2460.4</v>
      </c>
      <c r="CA7" s="6">
        <v>260</v>
      </c>
      <c r="CB7" s="6">
        <v>6</v>
      </c>
      <c r="CC7" s="6">
        <v>2714</v>
      </c>
      <c r="CD7" s="6">
        <v>520</v>
      </c>
      <c r="CE7" s="6">
        <v>408</v>
      </c>
      <c r="CF7" s="7">
        <v>1</v>
      </c>
      <c r="CG7" s="6">
        <v>2954</v>
      </c>
      <c r="CH7" s="6">
        <v>744</v>
      </c>
      <c r="CI7" s="6">
        <v>495</v>
      </c>
      <c r="CJ7" s="6">
        <v>1</v>
      </c>
      <c r="CK7" s="6">
        <v>2.98</v>
      </c>
      <c r="CL7" s="6">
        <v>659</v>
      </c>
      <c r="CM7" s="6">
        <v>343</v>
      </c>
      <c r="CN7" s="6">
        <v>11.52</v>
      </c>
      <c r="CO7" s="6">
        <v>17.600000000000001</v>
      </c>
      <c r="CP7" s="6">
        <v>14.47</v>
      </c>
      <c r="CQ7" s="6">
        <v>11.1</v>
      </c>
      <c r="CR7" s="6">
        <v>13.67</v>
      </c>
      <c r="CS7" s="6">
        <v>13.13</v>
      </c>
      <c r="CT7" s="6">
        <v>712</v>
      </c>
      <c r="CU7" s="6">
        <v>557</v>
      </c>
      <c r="CV7" s="6">
        <v>457</v>
      </c>
      <c r="CW7" s="12">
        <f t="shared" si="0"/>
        <v>3.1644444444444444</v>
      </c>
      <c r="CX7" s="12">
        <f t="shared" si="1"/>
        <v>15.724444444444444</v>
      </c>
    </row>
    <row r="8" spans="1:102" x14ac:dyDescent="0.2">
      <c r="A8" s="6" t="s">
        <v>174</v>
      </c>
      <c r="B8" s="6" t="s">
        <v>175</v>
      </c>
      <c r="C8" s="6" t="s">
        <v>176</v>
      </c>
      <c r="D8" s="6" t="s">
        <v>161</v>
      </c>
      <c r="E8" s="6">
        <v>2013</v>
      </c>
      <c r="F8" s="7">
        <v>2</v>
      </c>
      <c r="G8" s="7">
        <v>0</v>
      </c>
      <c r="H8" s="7">
        <v>0</v>
      </c>
      <c r="I8" s="6">
        <v>8</v>
      </c>
      <c r="J8" s="6">
        <v>71</v>
      </c>
      <c r="K8" s="6" t="s">
        <v>177</v>
      </c>
      <c r="L8" s="6">
        <v>5</v>
      </c>
      <c r="M8" s="7">
        <v>0</v>
      </c>
      <c r="N8" s="6">
        <v>7</v>
      </c>
      <c r="O8" s="6">
        <v>260</v>
      </c>
      <c r="P8" s="6">
        <v>216.3</v>
      </c>
      <c r="Q8" s="6">
        <v>12</v>
      </c>
      <c r="R8" s="6">
        <v>5.04</v>
      </c>
      <c r="S8" s="6">
        <v>12.34</v>
      </c>
      <c r="T8" s="6">
        <v>82.25</v>
      </c>
      <c r="U8" s="6">
        <v>221</v>
      </c>
      <c r="V8" s="6">
        <v>70</v>
      </c>
      <c r="W8" s="6">
        <v>84.5</v>
      </c>
      <c r="X8" s="6">
        <v>0.26069999999999999</v>
      </c>
      <c r="Y8" s="6">
        <v>0.372</v>
      </c>
      <c r="Z8" s="6">
        <v>0.70069999999999999</v>
      </c>
      <c r="AA8" s="6">
        <v>53</v>
      </c>
      <c r="AB8" s="6">
        <v>57</v>
      </c>
      <c r="AC8" s="6">
        <v>46</v>
      </c>
      <c r="AD8" s="6">
        <v>8</v>
      </c>
      <c r="AE8" s="6">
        <v>8</v>
      </c>
      <c r="AF8" s="6">
        <v>4175</v>
      </c>
      <c r="AG8" s="7">
        <v>1</v>
      </c>
      <c r="AH8" s="6">
        <v>4</v>
      </c>
      <c r="AI8" s="7">
        <v>1</v>
      </c>
      <c r="AJ8" s="6">
        <v>1045</v>
      </c>
      <c r="AK8" s="6">
        <v>830</v>
      </c>
      <c r="AL8" s="6">
        <v>752</v>
      </c>
      <c r="AM8" s="7">
        <v>0</v>
      </c>
      <c r="AN8" s="7">
        <v>0</v>
      </c>
      <c r="AO8" s="6">
        <v>9</v>
      </c>
      <c r="AP8" s="7">
        <v>1</v>
      </c>
      <c r="AQ8" s="6">
        <v>10.39</v>
      </c>
      <c r="AR8" s="6">
        <v>50.95</v>
      </c>
      <c r="AS8" s="6">
        <v>27.66</v>
      </c>
      <c r="AT8" s="6">
        <v>216.29</v>
      </c>
      <c r="AU8" s="6">
        <v>12</v>
      </c>
      <c r="AV8" s="6">
        <v>5.0404</v>
      </c>
      <c r="AW8" s="6">
        <v>12.34</v>
      </c>
      <c r="AX8" s="6">
        <v>82.25</v>
      </c>
      <c r="AY8" s="6">
        <v>221</v>
      </c>
      <c r="AZ8" s="6">
        <v>70</v>
      </c>
      <c r="BA8" s="6">
        <v>90.5</v>
      </c>
      <c r="BB8" s="6">
        <v>0.26069999999999999</v>
      </c>
      <c r="BC8" s="6">
        <v>0.372</v>
      </c>
      <c r="BD8" s="6">
        <v>0.70069999999999999</v>
      </c>
      <c r="BE8" s="6">
        <v>53</v>
      </c>
      <c r="BF8" s="6">
        <v>57</v>
      </c>
      <c r="BG8" s="6">
        <v>46</v>
      </c>
      <c r="BH8" s="6">
        <v>19.23</v>
      </c>
      <c r="BI8" s="6">
        <v>0</v>
      </c>
      <c r="BJ8" s="6">
        <v>8</v>
      </c>
      <c r="BK8" s="6">
        <v>5442</v>
      </c>
      <c r="BL8" s="6">
        <v>4</v>
      </c>
      <c r="BM8" s="6">
        <v>1113</v>
      </c>
      <c r="BN8" s="6">
        <v>852</v>
      </c>
      <c r="BO8" s="6">
        <v>692</v>
      </c>
      <c r="BP8" s="6">
        <v>8</v>
      </c>
      <c r="BQ8" s="7">
        <v>0</v>
      </c>
      <c r="BR8" s="7">
        <v>1</v>
      </c>
      <c r="BS8" s="7">
        <v>0</v>
      </c>
      <c r="BT8" s="6">
        <v>3557</v>
      </c>
      <c r="BU8" s="6">
        <v>89.29</v>
      </c>
      <c r="BV8" s="6">
        <v>94.49</v>
      </c>
      <c r="BW8" s="6">
        <v>3361.1</v>
      </c>
      <c r="BX8" s="6">
        <v>3175.9</v>
      </c>
      <c r="BY8" s="6">
        <v>3001</v>
      </c>
      <c r="CA8" s="6">
        <v>242</v>
      </c>
      <c r="CB8" s="6">
        <v>8</v>
      </c>
      <c r="CC8" s="6">
        <v>3218</v>
      </c>
      <c r="CD8" s="6">
        <v>551</v>
      </c>
      <c r="CE8" s="6">
        <v>477</v>
      </c>
      <c r="CF8" s="7">
        <v>1</v>
      </c>
      <c r="CG8" s="6">
        <v>2369</v>
      </c>
      <c r="CH8" s="6">
        <v>642</v>
      </c>
      <c r="CI8" s="6">
        <v>567</v>
      </c>
      <c r="CJ8" s="6">
        <v>1</v>
      </c>
      <c r="CK8" s="6">
        <v>2.74</v>
      </c>
      <c r="CL8" s="6">
        <v>753</v>
      </c>
      <c r="CM8" s="6">
        <v>570</v>
      </c>
      <c r="CN8" s="6">
        <v>13.56</v>
      </c>
      <c r="CO8" s="6">
        <v>18.07</v>
      </c>
      <c r="CP8" s="6">
        <v>14.54</v>
      </c>
      <c r="CQ8" s="6">
        <v>13.16</v>
      </c>
      <c r="CR8" s="6">
        <v>14.83</v>
      </c>
      <c r="CS8" s="6">
        <v>10.53</v>
      </c>
      <c r="CT8" s="6">
        <v>3063</v>
      </c>
      <c r="CU8" s="6">
        <v>662</v>
      </c>
      <c r="CV8" s="6">
        <v>605</v>
      </c>
      <c r="CW8" s="12">
        <f t="shared" si="0"/>
        <v>13.613333333333333</v>
      </c>
      <c r="CX8" s="12">
        <f t="shared" si="1"/>
        <v>15.808888888888889</v>
      </c>
    </row>
    <row r="9" spans="1:102" x14ac:dyDescent="0.2">
      <c r="A9" s="6" t="s">
        <v>178</v>
      </c>
      <c r="B9" s="6" t="s">
        <v>179</v>
      </c>
      <c r="C9" s="6" t="s">
        <v>180</v>
      </c>
      <c r="D9" s="6" t="s">
        <v>161</v>
      </c>
      <c r="E9" s="6">
        <v>2013</v>
      </c>
      <c r="F9" s="7">
        <v>4</v>
      </c>
      <c r="G9" s="7">
        <v>2</v>
      </c>
      <c r="H9" s="7">
        <v>0</v>
      </c>
      <c r="I9" s="6">
        <v>6</v>
      </c>
      <c r="J9" s="6" t="s">
        <v>166</v>
      </c>
      <c r="K9" s="6" t="s">
        <v>162</v>
      </c>
      <c r="L9" s="6">
        <v>6</v>
      </c>
      <c r="M9" s="7">
        <v>0</v>
      </c>
      <c r="N9" s="6">
        <v>8</v>
      </c>
      <c r="O9" s="6">
        <v>240</v>
      </c>
      <c r="P9" s="6">
        <v>247.4</v>
      </c>
      <c r="Q9" s="6">
        <v>10.25</v>
      </c>
      <c r="R9" s="6">
        <v>6.26</v>
      </c>
      <c r="S9" s="6">
        <v>27.32</v>
      </c>
      <c r="T9" s="6">
        <v>209.4</v>
      </c>
      <c r="U9" s="6">
        <v>275.10000000000002</v>
      </c>
      <c r="V9" s="6">
        <v>10</v>
      </c>
      <c r="W9" s="6">
        <v>45</v>
      </c>
      <c r="X9" s="6">
        <v>0.40360000000000001</v>
      </c>
      <c r="Y9" s="6">
        <v>0.78849999999999998</v>
      </c>
      <c r="Z9" s="6">
        <v>0.54269999999999996</v>
      </c>
      <c r="AA9" s="6">
        <v>74</v>
      </c>
      <c r="AB9" s="6">
        <v>78</v>
      </c>
      <c r="AC9" s="6">
        <v>46</v>
      </c>
      <c r="AD9" s="6">
        <v>6</v>
      </c>
      <c r="AE9" s="6">
        <v>8</v>
      </c>
      <c r="AF9" s="6">
        <v>3092</v>
      </c>
      <c r="AG9" s="7">
        <v>1</v>
      </c>
      <c r="AH9" s="6">
        <v>3</v>
      </c>
      <c r="AI9" s="7">
        <v>1</v>
      </c>
      <c r="AJ9" s="6">
        <v>1014</v>
      </c>
      <c r="AK9" s="6">
        <v>773</v>
      </c>
      <c r="AL9" s="6">
        <v>679</v>
      </c>
      <c r="AM9" s="7">
        <v>2</v>
      </c>
      <c r="AN9" s="7">
        <v>0</v>
      </c>
      <c r="AO9" s="6">
        <v>7</v>
      </c>
      <c r="AP9" s="7">
        <v>1</v>
      </c>
      <c r="AQ9" s="6">
        <v>8.7799999999999994</v>
      </c>
      <c r="AR9" s="6">
        <v>45.99</v>
      </c>
      <c r="AS9" s="6">
        <v>29.69</v>
      </c>
      <c r="AT9" s="6">
        <v>247.38</v>
      </c>
      <c r="AU9" s="6">
        <v>10.25</v>
      </c>
      <c r="AV9" s="6">
        <v>6.2625000000000002</v>
      </c>
      <c r="AW9" s="6">
        <v>27.315000000000001</v>
      </c>
      <c r="AX9" s="6">
        <v>209.44</v>
      </c>
      <c r="AY9" s="6">
        <v>275.08</v>
      </c>
      <c r="AZ9" s="6">
        <v>10</v>
      </c>
      <c r="BA9" s="6">
        <v>57.5</v>
      </c>
      <c r="BB9" s="6">
        <v>0.40360000000000001</v>
      </c>
      <c r="BC9" s="6">
        <v>0.78849999999999998</v>
      </c>
      <c r="BD9" s="6">
        <v>0.54269999999999996</v>
      </c>
      <c r="BE9" s="6">
        <v>74</v>
      </c>
      <c r="BF9" s="6">
        <v>78</v>
      </c>
      <c r="BG9" s="6">
        <v>46</v>
      </c>
      <c r="BH9" s="6">
        <v>22.54</v>
      </c>
      <c r="BI9" s="6">
        <v>2</v>
      </c>
      <c r="BJ9" s="6">
        <v>6</v>
      </c>
      <c r="BK9" s="6">
        <v>5716</v>
      </c>
      <c r="BL9" s="6">
        <v>3</v>
      </c>
      <c r="BM9" s="6">
        <v>1051</v>
      </c>
      <c r="BN9" s="6">
        <v>756</v>
      </c>
      <c r="BO9" s="6">
        <v>584</v>
      </c>
      <c r="BP9" s="6">
        <v>8</v>
      </c>
      <c r="BQ9" s="7">
        <v>1</v>
      </c>
      <c r="BR9" s="7">
        <v>1</v>
      </c>
      <c r="BS9" s="7">
        <v>0</v>
      </c>
      <c r="BT9" s="6">
        <v>3625</v>
      </c>
      <c r="BU9" s="6">
        <v>66.930000000000007</v>
      </c>
      <c r="BV9" s="6">
        <v>94.31</v>
      </c>
      <c r="BW9" s="6">
        <v>3418.8</v>
      </c>
      <c r="BX9" s="6">
        <v>2426.3000000000002</v>
      </c>
      <c r="BY9" s="6">
        <v>2288.3000000000002</v>
      </c>
      <c r="CA9" s="6">
        <v>253</v>
      </c>
      <c r="CB9" s="6">
        <v>7</v>
      </c>
      <c r="CC9" s="6">
        <v>2315</v>
      </c>
      <c r="CD9" s="6">
        <v>596</v>
      </c>
      <c r="CE9" s="6">
        <v>531</v>
      </c>
      <c r="CF9" s="7">
        <v>1</v>
      </c>
      <c r="CG9" s="6">
        <v>1568</v>
      </c>
      <c r="CH9" s="6">
        <v>674</v>
      </c>
      <c r="CI9" s="6">
        <v>453</v>
      </c>
      <c r="CJ9" s="6">
        <v>1</v>
      </c>
      <c r="CK9" s="6">
        <v>1.64</v>
      </c>
      <c r="CL9" s="6">
        <v>632</v>
      </c>
      <c r="CM9" s="6">
        <v>460</v>
      </c>
      <c r="CN9" s="6">
        <v>9.64</v>
      </c>
      <c r="CO9" s="6">
        <v>18.05</v>
      </c>
      <c r="CP9" s="6">
        <v>19.760000000000002</v>
      </c>
      <c r="CQ9" s="6">
        <v>12.62</v>
      </c>
      <c r="CR9" s="6">
        <v>15.02</v>
      </c>
      <c r="CS9" s="6">
        <v>6.97</v>
      </c>
      <c r="CT9" s="6">
        <v>1118</v>
      </c>
      <c r="CU9" s="6">
        <v>646</v>
      </c>
      <c r="CV9" s="6">
        <v>510</v>
      </c>
      <c r="CW9" s="12">
        <f t="shared" si="0"/>
        <v>4.9688888888888885</v>
      </c>
      <c r="CX9" s="12">
        <f t="shared" si="1"/>
        <v>16.111111111111111</v>
      </c>
    </row>
    <row r="10" spans="1:102" x14ac:dyDescent="0.2">
      <c r="A10" s="6" t="s">
        <v>181</v>
      </c>
      <c r="B10" s="6" t="s">
        <v>182</v>
      </c>
      <c r="C10" s="6" t="s">
        <v>183</v>
      </c>
      <c r="D10" s="6" t="s">
        <v>161</v>
      </c>
      <c r="E10" s="6">
        <v>2013</v>
      </c>
      <c r="F10" s="7">
        <v>3</v>
      </c>
      <c r="G10" s="7">
        <v>0</v>
      </c>
      <c r="H10" s="7">
        <v>0</v>
      </c>
      <c r="I10" s="6">
        <v>6</v>
      </c>
      <c r="J10" s="6" t="s">
        <v>166</v>
      </c>
      <c r="K10" s="6" t="s">
        <v>162</v>
      </c>
      <c r="L10" s="6">
        <v>6</v>
      </c>
      <c r="M10" s="7">
        <v>0</v>
      </c>
      <c r="N10" s="6">
        <v>8</v>
      </c>
      <c r="O10" s="6">
        <v>250</v>
      </c>
      <c r="P10" s="6">
        <v>247</v>
      </c>
      <c r="Q10" s="6">
        <v>12.33</v>
      </c>
      <c r="R10" s="6">
        <v>6.83</v>
      </c>
      <c r="S10" s="6">
        <v>37.28</v>
      </c>
      <c r="T10" s="6">
        <v>202.8</v>
      </c>
      <c r="U10" s="6">
        <v>334.2</v>
      </c>
      <c r="V10" s="6">
        <v>20</v>
      </c>
      <c r="W10" s="6">
        <v>72.5</v>
      </c>
      <c r="X10" s="6">
        <v>0.34539999999999998</v>
      </c>
      <c r="Y10" s="6">
        <v>0.59130000000000005</v>
      </c>
      <c r="Z10" s="6">
        <v>0.58560000000000001</v>
      </c>
      <c r="AA10" s="6">
        <v>74</v>
      </c>
      <c r="AB10" s="6">
        <v>78</v>
      </c>
      <c r="AC10" s="6">
        <v>46</v>
      </c>
      <c r="AD10" s="6">
        <v>5</v>
      </c>
      <c r="AE10" s="6">
        <v>8</v>
      </c>
      <c r="AF10" s="6">
        <v>4892</v>
      </c>
      <c r="AG10" s="7">
        <v>1</v>
      </c>
      <c r="AH10" s="6">
        <v>4</v>
      </c>
      <c r="AI10" s="7">
        <v>1</v>
      </c>
      <c r="AJ10" s="6">
        <v>962</v>
      </c>
      <c r="AK10" s="6">
        <v>718</v>
      </c>
      <c r="AL10" s="6">
        <v>636</v>
      </c>
      <c r="AM10" s="7">
        <v>0</v>
      </c>
      <c r="AN10" s="7">
        <v>0</v>
      </c>
      <c r="AO10" s="6">
        <v>8</v>
      </c>
      <c r="AP10" s="7">
        <v>1</v>
      </c>
      <c r="AQ10" s="6">
        <v>8.81</v>
      </c>
      <c r="AR10" s="6">
        <v>45.79</v>
      </c>
      <c r="AS10" s="6">
        <v>29.64</v>
      </c>
      <c r="AT10" s="6">
        <v>246.96</v>
      </c>
      <c r="AU10" s="6">
        <v>12.333299999999999</v>
      </c>
      <c r="AV10" s="6">
        <v>6.8282999999999996</v>
      </c>
      <c r="AW10" s="6">
        <v>37.284999999999997</v>
      </c>
      <c r="AX10" s="6">
        <v>202.8</v>
      </c>
      <c r="AY10" s="6">
        <v>334.19</v>
      </c>
      <c r="AZ10" s="6">
        <v>20</v>
      </c>
      <c r="BA10" s="6">
        <v>57.5</v>
      </c>
      <c r="BB10" s="6">
        <v>0.34539999999999998</v>
      </c>
      <c r="BC10" s="6">
        <v>0.59130000000000005</v>
      </c>
      <c r="BD10" s="6">
        <v>0.58560000000000001</v>
      </c>
      <c r="BE10" s="6">
        <v>74</v>
      </c>
      <c r="BF10" s="6">
        <v>78</v>
      </c>
      <c r="BG10" s="6">
        <v>46</v>
      </c>
      <c r="BH10" s="6">
        <v>21.74</v>
      </c>
      <c r="BI10" s="6">
        <v>8</v>
      </c>
      <c r="BJ10" s="6">
        <v>6</v>
      </c>
      <c r="BK10" s="6">
        <v>5411</v>
      </c>
      <c r="BL10" s="6">
        <v>4</v>
      </c>
      <c r="BM10" s="6">
        <v>1385</v>
      </c>
      <c r="BN10" s="6">
        <v>933</v>
      </c>
      <c r="BO10" s="6">
        <v>640</v>
      </c>
      <c r="BP10" s="6">
        <v>7</v>
      </c>
      <c r="BQ10" s="7">
        <v>0</v>
      </c>
      <c r="BR10" s="7">
        <v>1</v>
      </c>
      <c r="BS10" s="7">
        <v>0</v>
      </c>
      <c r="BT10" s="6">
        <v>4687</v>
      </c>
      <c r="BU10" s="6">
        <v>68.61</v>
      </c>
      <c r="BV10" s="6">
        <v>94.44</v>
      </c>
      <c r="BW10" s="6">
        <v>4426.3</v>
      </c>
      <c r="BX10" s="6">
        <v>3215.7</v>
      </c>
      <c r="BY10" s="6">
        <v>3036.8</v>
      </c>
      <c r="CA10" s="6">
        <v>260</v>
      </c>
      <c r="CB10" s="6">
        <v>7</v>
      </c>
      <c r="CC10" s="6">
        <v>2953</v>
      </c>
      <c r="CD10" s="6">
        <v>546</v>
      </c>
      <c r="CE10" s="6">
        <v>453</v>
      </c>
      <c r="CF10" s="7">
        <v>1</v>
      </c>
      <c r="CG10" s="6">
        <v>2015</v>
      </c>
      <c r="CH10" s="6">
        <v>677</v>
      </c>
      <c r="CI10" s="6">
        <v>490</v>
      </c>
      <c r="CJ10" s="6">
        <v>1</v>
      </c>
      <c r="CK10" s="6">
        <v>2.46</v>
      </c>
      <c r="CL10" s="6">
        <v>578</v>
      </c>
      <c r="CM10" s="6">
        <v>337</v>
      </c>
      <c r="CN10" s="6">
        <v>14.93</v>
      </c>
      <c r="CO10" s="6">
        <v>15.18</v>
      </c>
      <c r="CP10" s="6">
        <v>19.16</v>
      </c>
      <c r="CQ10" s="6">
        <v>12.08</v>
      </c>
      <c r="CR10" s="6">
        <v>15.34</v>
      </c>
      <c r="CS10" s="6">
        <v>8.9600000000000009</v>
      </c>
      <c r="CT10" s="6">
        <v>885</v>
      </c>
      <c r="CU10" s="6">
        <v>652</v>
      </c>
      <c r="CV10" s="6">
        <v>524</v>
      </c>
      <c r="CW10" s="12">
        <f t="shared" si="0"/>
        <v>3.9333333333333331</v>
      </c>
      <c r="CX10" s="12">
        <f t="shared" si="1"/>
        <v>20.83111111111111</v>
      </c>
    </row>
    <row r="11" spans="1:102" x14ac:dyDescent="0.2">
      <c r="CN11" s="13">
        <f t="shared" ref="CN11:CQ11" si="2">AVERAGE(CN4:CN10)</f>
        <v>11.242857142857144</v>
      </c>
      <c r="CO11" s="13">
        <f t="shared" si="2"/>
        <v>17.417142857142856</v>
      </c>
      <c r="CP11" s="13">
        <f t="shared" si="2"/>
        <v>15.334285714285713</v>
      </c>
      <c r="CQ11" s="13">
        <f t="shared" si="2"/>
        <v>12.991428571428573</v>
      </c>
      <c r="CR11" s="13">
        <f>AVERAGE(CR4:CR10)</f>
        <v>14.247142857142858</v>
      </c>
      <c r="CS11" s="13">
        <f>AVERAGE(CS4:CS10)</f>
        <v>11.022857142857143</v>
      </c>
      <c r="CT11" s="13"/>
      <c r="CU11" s="13"/>
      <c r="CV11" s="13"/>
      <c r="CW11" s="13">
        <f>AVERAGE(CW4:CW10)</f>
        <v>7.4876190476190478</v>
      </c>
      <c r="CX11" s="13">
        <f>AVERAGE(CX4:CX10)</f>
        <v>15.902857142857144</v>
      </c>
    </row>
    <row r="12" spans="1:102" x14ac:dyDescent="0.2">
      <c r="AU12" t="s">
        <v>266</v>
      </c>
      <c r="AV12">
        <f>AVERAGE(AV4:AV10)</f>
        <v>6.1961142857142866</v>
      </c>
      <c r="AW12" t="s">
        <v>269</v>
      </c>
      <c r="AY12">
        <f>AVERAGE(AY4:AY10)</f>
        <v>301.70285714285717</v>
      </c>
      <c r="BB12" t="s">
        <v>244</v>
      </c>
    </row>
    <row r="13" spans="1:102" x14ac:dyDescent="0.2">
      <c r="L13" t="s">
        <v>258</v>
      </c>
      <c r="N13" t="s">
        <v>257</v>
      </c>
      <c r="T13" t="s">
        <v>259</v>
      </c>
      <c r="U13" t="s">
        <v>260</v>
      </c>
      <c r="X13" t="s">
        <v>259</v>
      </c>
      <c r="Z13" t="s">
        <v>260</v>
      </c>
      <c r="AA13" t="s">
        <v>264</v>
      </c>
      <c r="AU13" t="s">
        <v>267</v>
      </c>
      <c r="AV13">
        <f>AV12/2</f>
        <v>3.0980571428571433</v>
      </c>
      <c r="AW13" t="s">
        <v>269</v>
      </c>
    </row>
    <row r="14" spans="1:102" x14ac:dyDescent="0.2">
      <c r="L14" t="s">
        <v>262</v>
      </c>
      <c r="N14" t="s">
        <v>262</v>
      </c>
      <c r="T14" t="s">
        <v>261</v>
      </c>
      <c r="U14" t="s">
        <v>261</v>
      </c>
      <c r="X14" t="s">
        <v>261</v>
      </c>
      <c r="Z14" t="s">
        <v>261</v>
      </c>
      <c r="AA14" t="s">
        <v>263</v>
      </c>
      <c r="AB14" t="s">
        <v>263</v>
      </c>
      <c r="AC14" t="s">
        <v>263</v>
      </c>
      <c r="AU14" t="s">
        <v>268</v>
      </c>
      <c r="AV14">
        <f>PI()*(AV13^2)</f>
        <v>30.152874532041235</v>
      </c>
      <c r="AW14" t="s">
        <v>270</v>
      </c>
      <c r="BE14" t="s">
        <v>265</v>
      </c>
      <c r="BF14" t="s">
        <v>265</v>
      </c>
    </row>
    <row r="15" spans="1:102" x14ac:dyDescent="0.2">
      <c r="AV15" t="s">
        <v>271</v>
      </c>
    </row>
    <row r="16" spans="1:102" x14ac:dyDescent="0.2">
      <c r="AV16" t="s">
        <v>262</v>
      </c>
    </row>
  </sheetData>
  <mergeCells count="17">
    <mergeCell ref="CN1:CS1"/>
    <mergeCell ref="CT1:CV1"/>
    <mergeCell ref="AQ1:BH1"/>
    <mergeCell ref="CW1:CX1"/>
    <mergeCell ref="BW1:BY1"/>
    <mergeCell ref="CB1:CE1"/>
    <mergeCell ref="CG1:CI1"/>
    <mergeCell ref="CJ1:CM1"/>
    <mergeCell ref="AM1:AP1"/>
    <mergeCell ref="BI1:BO1"/>
    <mergeCell ref="BP1:BS1"/>
    <mergeCell ref="BT1:BV1"/>
    <mergeCell ref="A1:E1"/>
    <mergeCell ref="P1:AC1"/>
    <mergeCell ref="F1:H1"/>
    <mergeCell ref="I1:O1"/>
    <mergeCell ref="AD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0B4E-0B42-D440-A1A5-D585BC38FEFA}">
  <dimension ref="A2:E19"/>
  <sheetViews>
    <sheetView workbookViewId="0">
      <selection activeCell="C16" sqref="C16"/>
    </sheetView>
  </sheetViews>
  <sheetFormatPr baseColWidth="10" defaultColWidth="30.83203125" defaultRowHeight="15" x14ac:dyDescent="0.2"/>
  <sheetData>
    <row r="2" spans="1:5" ht="25" customHeight="1" thickBot="1" x14ac:dyDescent="0.25">
      <c r="A2" s="8" t="s">
        <v>219</v>
      </c>
      <c r="B2" s="8" t="s">
        <v>211</v>
      </c>
      <c r="C2" s="8" t="s">
        <v>212</v>
      </c>
    </row>
    <row r="3" spans="1:5" ht="16" thickTop="1" x14ac:dyDescent="0.2"/>
    <row r="4" spans="1:5" x14ac:dyDescent="0.2">
      <c r="A4" t="s">
        <v>184</v>
      </c>
      <c r="B4" t="s">
        <v>210</v>
      </c>
      <c r="C4" t="s">
        <v>243</v>
      </c>
    </row>
    <row r="5" spans="1:5" x14ac:dyDescent="0.2">
      <c r="A5" t="s">
        <v>185</v>
      </c>
      <c r="B5" t="s">
        <v>215</v>
      </c>
      <c r="C5" t="s">
        <v>243</v>
      </c>
    </row>
    <row r="6" spans="1:5" x14ac:dyDescent="0.2">
      <c r="A6" t="s">
        <v>186</v>
      </c>
      <c r="B6" t="s">
        <v>214</v>
      </c>
      <c r="C6" t="s">
        <v>213</v>
      </c>
    </row>
    <row r="7" spans="1:5" x14ac:dyDescent="0.2">
      <c r="A7" t="s">
        <v>187</v>
      </c>
      <c r="B7" t="s">
        <v>216</v>
      </c>
      <c r="C7" t="s">
        <v>213</v>
      </c>
    </row>
    <row r="8" spans="1:5" x14ac:dyDescent="0.2">
      <c r="A8" t="s">
        <v>42</v>
      </c>
      <c r="B8" t="s">
        <v>209</v>
      </c>
      <c r="C8" t="s">
        <v>213</v>
      </c>
    </row>
    <row r="9" spans="1:5" x14ac:dyDescent="0.2">
      <c r="A9" t="s">
        <v>220</v>
      </c>
      <c r="B9" t="s">
        <v>217</v>
      </c>
      <c r="C9" t="s">
        <v>243</v>
      </c>
    </row>
    <row r="10" spans="1:5" x14ac:dyDescent="0.2">
      <c r="A10" t="s">
        <v>220</v>
      </c>
      <c r="B10" t="s">
        <v>218</v>
      </c>
      <c r="C10" t="s">
        <v>243</v>
      </c>
    </row>
    <row r="11" spans="1:5" x14ac:dyDescent="0.2">
      <c r="A11" t="s">
        <v>220</v>
      </c>
      <c r="B11" t="s">
        <v>245</v>
      </c>
      <c r="C11" t="s">
        <v>243</v>
      </c>
    </row>
    <row r="12" spans="1:5" x14ac:dyDescent="0.2">
      <c r="A12" t="s">
        <v>73</v>
      </c>
      <c r="B12" t="s">
        <v>223</v>
      </c>
      <c r="C12" t="s">
        <v>243</v>
      </c>
    </row>
    <row r="13" spans="1:5" x14ac:dyDescent="0.2">
      <c r="A13" t="s">
        <v>252</v>
      </c>
      <c r="B13" t="s">
        <v>253</v>
      </c>
      <c r="C13" t="s">
        <v>254</v>
      </c>
    </row>
    <row r="15" spans="1:5" x14ac:dyDescent="0.2">
      <c r="C15" t="s">
        <v>255</v>
      </c>
    </row>
    <row r="16" spans="1:5" x14ac:dyDescent="0.2">
      <c r="C16" t="s">
        <v>240</v>
      </c>
      <c r="E16" s="11" t="s">
        <v>251</v>
      </c>
    </row>
    <row r="18" spans="3:3" x14ac:dyDescent="0.2">
      <c r="C18" t="s">
        <v>241</v>
      </c>
    </row>
    <row r="19" spans="3:3" x14ac:dyDescent="0.2">
      <c r="C1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Master_All_Variables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Oprescu, Paulian</cp:lastModifiedBy>
  <dcterms:created xsi:type="dcterms:W3CDTF">2026-03-30T16:16:57Z</dcterms:created>
  <dcterms:modified xsi:type="dcterms:W3CDTF">2026-04-13T11:43:32Z</dcterms:modified>
</cp:coreProperties>
</file>